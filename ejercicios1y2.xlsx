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ho\Downloads\"/>
    </mc:Choice>
  </mc:AlternateContent>
  <xr:revisionPtr revIDLastSave="0" documentId="8_{11E83F4D-AEF1-4C5F-AD20-69748270273B}" xr6:coauthVersionLast="47" xr6:coauthVersionMax="47" xr10:uidLastSave="{00000000-0000-0000-0000-000000000000}"/>
  <bookViews>
    <workbookView xWindow="-108" yWindow="-108" windowWidth="23256" windowHeight="12456" xr2:uid="{14ECCB46-4D50-8C4E-96A8-D37047EC3169}"/>
  </bookViews>
  <sheets>
    <sheet name="EJERCICIO 1" sheetId="1" r:id="rId1"/>
    <sheet name="EJERCICIO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2" l="1"/>
  <c r="B14" i="2"/>
  <c r="B13" i="2"/>
  <c r="C18" i="2" s="1"/>
  <c r="D12" i="2"/>
  <c r="C12" i="2"/>
  <c r="B12" i="2"/>
  <c r="B14" i="1"/>
  <c r="C17" i="1"/>
  <c r="B13" i="1"/>
  <c r="D13" i="1" s="1"/>
  <c r="D12" i="1"/>
  <c r="C12" i="1"/>
  <c r="B12" i="1"/>
  <c r="C13" i="2" l="1"/>
  <c r="C14" i="2" s="1"/>
  <c r="C19" i="2" s="1"/>
  <c r="D13" i="2"/>
  <c r="C13" i="1"/>
  <c r="C18" i="1"/>
  <c r="C14" i="1" l="1"/>
  <c r="D14" i="1" s="1"/>
  <c r="D14" i="2"/>
  <c r="C22" i="2" s="1"/>
  <c r="C23" i="2" s="1"/>
  <c r="C24" i="2" s="1"/>
  <c r="C19" i="1" l="1"/>
  <c r="C22" i="1" s="1"/>
  <c r="C23" i="1" s="1"/>
  <c r="C24" i="1" s="1"/>
</calcChain>
</file>

<file path=xl/sharedStrings.xml><?xml version="1.0" encoding="utf-8"?>
<sst xmlns="http://schemas.openxmlformats.org/spreadsheetml/2006/main" count="28" uniqueCount="22">
  <si>
    <t>MATRIZ A</t>
  </si>
  <si>
    <t>VECTOR B</t>
  </si>
  <si>
    <t xml:space="preserve">MATRIZ DIAGONAL </t>
  </si>
  <si>
    <t>METODO DE DOOLITTLE</t>
  </si>
  <si>
    <t>MATRIZ L</t>
  </si>
  <si>
    <t>MATRIZ U</t>
  </si>
  <si>
    <t>SUSTITUCION LY = B</t>
  </si>
  <si>
    <t>Y1</t>
  </si>
  <si>
    <t>Y2</t>
  </si>
  <si>
    <t>Y3</t>
  </si>
  <si>
    <t>SUSTITUCION UX = Y</t>
  </si>
  <si>
    <t>X3</t>
  </si>
  <si>
    <t>X2</t>
  </si>
  <si>
    <t>X1</t>
  </si>
  <si>
    <t>Sustitucion LY = B</t>
  </si>
  <si>
    <t>y1</t>
  </si>
  <si>
    <t>y2</t>
  </si>
  <si>
    <t>y3</t>
  </si>
  <si>
    <t>Sustitucion UX = Y</t>
  </si>
  <si>
    <t>x3</t>
  </si>
  <si>
    <t>x2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</si>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</sst>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1" xfId="0" applyFont="1" applyFill="1" applyBorder="1"/>
    <xf numFmtId="0" fontId="0" fillId="7" borderId="1" xfId="0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711200</xdr:colOff>
      <xdr:row>1</xdr:row>
      <xdr:rowOff>38100</xdr:rowOff>
    </xdr:from>
    <xdr:to>
      <xdr:col>11</xdr:col>
      <xdr:colOff>25400</xdr:colOff>
      <xdr:row>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95506-8E72-AB44-95AB-1FA32810C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4200" y="241300"/>
          <a:ext cx="3441700" cy="876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520700</xdr:colOff>
      <xdr:row>1</xdr:row>
      <xdr:rowOff>12700</xdr:rowOff>
    </xdr:from>
    <xdr:to>
      <xdr:col>10</xdr:col>
      <xdr:colOff>723900</xdr:colOff>
      <xdr:row>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8CD42-42AF-264D-B14A-446B46BB3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3700" y="215900"/>
          <a:ext cx="3505200" cy="82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FECA-9F82-F049-AA1D-D214CD4D088B}">
  <dimension ref="B2:F24"/>
  <sheetViews>
    <sheetView tabSelected="1" topLeftCell="A8" zoomScale="124" zoomScaleNormal="124" workbookViewId="0">
      <selection activeCell="F22" sqref="F22"/>
    </sheetView>
  </sheetViews>
  <sheetFormatPr baseColWidth="10" defaultRowHeight="15.6" x14ac:dyDescent="0.3"/>
  <sheetData>
    <row r="2" spans="2:6" x14ac:dyDescent="0.3">
      <c r="B2" t="s">
        <v>0</v>
      </c>
      <c r="F2" t="s">
        <v>1</v>
      </c>
    </row>
    <row r="3" spans="2:6" x14ac:dyDescent="0.3">
      <c r="B3" s="5">
        <v>10</v>
      </c>
      <c r="C3" s="5">
        <v>2</v>
      </c>
      <c r="D3" s="5">
        <v>-1</v>
      </c>
      <c r="F3" s="6">
        <v>27</v>
      </c>
    </row>
    <row r="4" spans="2:6" x14ac:dyDescent="0.3">
      <c r="B4" s="5">
        <v>-3</v>
      </c>
      <c r="C4" s="5">
        <v>-6</v>
      </c>
      <c r="D4" s="5">
        <v>2</v>
      </c>
      <c r="F4" s="6">
        <v>-61.5</v>
      </c>
    </row>
    <row r="5" spans="2:6" x14ac:dyDescent="0.3">
      <c r="B5" s="5">
        <v>1</v>
      </c>
      <c r="C5" s="5">
        <v>1</v>
      </c>
      <c r="D5" s="5">
        <v>5</v>
      </c>
      <c r="F5" s="6">
        <v>-21.5</v>
      </c>
    </row>
    <row r="7" spans="2:6" x14ac:dyDescent="0.3">
      <c r="B7" t="s">
        <v>2</v>
      </c>
    </row>
    <row r="8" spans="2:6" x14ac:dyDescent="0.3">
      <c r="B8" s="7">
        <v>1</v>
      </c>
      <c r="C8" s="7">
        <v>0</v>
      </c>
      <c r="D8" s="7">
        <v>0</v>
      </c>
    </row>
    <row r="9" spans="2:6" x14ac:dyDescent="0.3">
      <c r="B9" s="7">
        <v>0</v>
      </c>
      <c r="C9" s="7">
        <v>1</v>
      </c>
      <c r="D9" s="7">
        <v>0</v>
      </c>
    </row>
    <row r="10" spans="2:6" x14ac:dyDescent="0.3">
      <c r="B10" s="7">
        <v>0</v>
      </c>
      <c r="C10" s="7">
        <v>0</v>
      </c>
      <c r="D10" s="7">
        <v>1</v>
      </c>
    </row>
    <row r="11" spans="2:6" x14ac:dyDescent="0.3">
      <c r="B11" t="s">
        <v>3</v>
      </c>
    </row>
    <row r="12" spans="2:6" x14ac:dyDescent="0.3">
      <c r="B12" s="8">
        <f>B3</f>
        <v>10</v>
      </c>
      <c r="C12" s="8">
        <f>C3</f>
        <v>2</v>
      </c>
      <c r="D12" s="8">
        <f>D3</f>
        <v>-1</v>
      </c>
      <c r="F12" s="2" t="s">
        <v>4</v>
      </c>
    </row>
    <row r="13" spans="2:6" x14ac:dyDescent="0.3">
      <c r="B13" s="9">
        <f>B4/B3</f>
        <v>-0.3</v>
      </c>
      <c r="C13" s="8">
        <f>C4-(B13*C3)</f>
        <v>-5.4</v>
      </c>
      <c r="D13" s="8">
        <f>D4-(B13*D3)</f>
        <v>1.7</v>
      </c>
    </row>
    <row r="14" spans="2:6" x14ac:dyDescent="0.3">
      <c r="B14" s="9">
        <f>B5/B3</f>
        <v>0.1</v>
      </c>
      <c r="C14" s="9">
        <f>(C5-B14*C3)/C13</f>
        <v>-0.14814814814814814</v>
      </c>
      <c r="D14" s="8">
        <f>D5-(B14*D3+C14*D13)</f>
        <v>5.3518518518518521</v>
      </c>
      <c r="F14" s="3" t="s">
        <v>5</v>
      </c>
    </row>
    <row r="16" spans="2:6" x14ac:dyDescent="0.3">
      <c r="B16" t="s">
        <v>14</v>
      </c>
    </row>
    <row r="17" spans="2:3" x14ac:dyDescent="0.3">
      <c r="B17" t="s">
        <v>15</v>
      </c>
      <c r="C17">
        <f>F3</f>
        <v>27</v>
      </c>
    </row>
    <row r="18" spans="2:3" x14ac:dyDescent="0.3">
      <c r="B18" t="s">
        <v>16</v>
      </c>
      <c r="C18">
        <f>F4-(B13*C17)</f>
        <v>-53.4</v>
      </c>
    </row>
    <row r="19" spans="2:3" x14ac:dyDescent="0.3">
      <c r="B19" t="s">
        <v>17</v>
      </c>
      <c r="C19">
        <f>F5-(B14*C17+C14*C18)</f>
        <v>-32.111111111111114</v>
      </c>
    </row>
    <row r="21" spans="2:3" x14ac:dyDescent="0.3">
      <c r="B21" t="s">
        <v>18</v>
      </c>
    </row>
    <row r="22" spans="2:3" x14ac:dyDescent="0.3">
      <c r="B22" t="s">
        <v>19</v>
      </c>
      <c r="C22">
        <f>C19/D14</f>
        <v>-6</v>
      </c>
    </row>
    <row r="23" spans="2:3" x14ac:dyDescent="0.3">
      <c r="B23" t="s">
        <v>20</v>
      </c>
      <c r="C23">
        <f>(C18-D13*C22)/C13</f>
        <v>8</v>
      </c>
    </row>
    <row r="24" spans="2:3" x14ac:dyDescent="0.3">
      <c r="B24" t="s">
        <v>21</v>
      </c>
      <c r="C24">
        <f>(C17-(C12*C23+D12*C22))/B12</f>
        <v>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07A9-29DF-B246-9555-8CF40C0D8506}">
  <dimension ref="B2:F24"/>
  <sheetViews>
    <sheetView workbookViewId="0">
      <selection activeCell="J10" sqref="J10"/>
    </sheetView>
  </sheetViews>
  <sheetFormatPr baseColWidth="10" defaultRowHeight="15.6" x14ac:dyDescent="0.3"/>
  <sheetData>
    <row r="2" spans="2:6" x14ac:dyDescent="0.3">
      <c r="B2" t="s">
        <v>0</v>
      </c>
      <c r="F2" t="s">
        <v>1</v>
      </c>
    </row>
    <row r="3" spans="2:6" x14ac:dyDescent="0.3">
      <c r="B3" s="3">
        <v>8</v>
      </c>
      <c r="C3" s="3">
        <v>4</v>
      </c>
      <c r="D3" s="3">
        <v>-1</v>
      </c>
      <c r="F3" s="4">
        <v>11</v>
      </c>
    </row>
    <row r="4" spans="2:6" x14ac:dyDescent="0.3">
      <c r="B4" s="3">
        <v>-2</v>
      </c>
      <c r="C4" s="3">
        <v>5</v>
      </c>
      <c r="D4" s="3">
        <v>1</v>
      </c>
      <c r="F4" s="4">
        <v>4</v>
      </c>
    </row>
    <row r="5" spans="2:6" x14ac:dyDescent="0.3">
      <c r="B5" s="3">
        <v>2</v>
      </c>
      <c r="C5" s="3">
        <v>-1</v>
      </c>
      <c r="D5" s="3">
        <v>6</v>
      </c>
      <c r="F5" s="4">
        <v>7</v>
      </c>
    </row>
    <row r="7" spans="2:6" x14ac:dyDescent="0.3">
      <c r="B7" t="s">
        <v>2</v>
      </c>
    </row>
    <row r="8" spans="2:6" x14ac:dyDescent="0.3">
      <c r="B8">
        <v>1</v>
      </c>
      <c r="C8">
        <v>0</v>
      </c>
      <c r="D8">
        <v>0</v>
      </c>
    </row>
    <row r="9" spans="2:6" x14ac:dyDescent="0.3">
      <c r="B9">
        <v>0</v>
      </c>
      <c r="C9">
        <v>1</v>
      </c>
      <c r="D9">
        <v>0</v>
      </c>
    </row>
    <row r="10" spans="2:6" x14ac:dyDescent="0.3">
      <c r="B10">
        <v>0</v>
      </c>
      <c r="C10">
        <v>0</v>
      </c>
      <c r="D10">
        <v>1</v>
      </c>
    </row>
    <row r="11" spans="2:6" x14ac:dyDescent="0.3">
      <c r="B11" t="s">
        <v>3</v>
      </c>
    </row>
    <row r="12" spans="2:6" x14ac:dyDescent="0.3">
      <c r="B12" s="1">
        <f>B3</f>
        <v>8</v>
      </c>
      <c r="C12" s="1">
        <f>C3</f>
        <v>4</v>
      </c>
      <c r="D12" s="1">
        <f>D3</f>
        <v>-1</v>
      </c>
      <c r="F12" s="2" t="s">
        <v>4</v>
      </c>
    </row>
    <row r="13" spans="2:6" x14ac:dyDescent="0.3">
      <c r="B13" s="2">
        <f>B4/B3</f>
        <v>-0.25</v>
      </c>
      <c r="C13" s="1">
        <f>C4-(B13*C3)</f>
        <v>6</v>
      </c>
      <c r="D13" s="1">
        <f>D4-(B13*D3)</f>
        <v>0.75</v>
      </c>
    </row>
    <row r="14" spans="2:6" x14ac:dyDescent="0.3">
      <c r="B14" s="2">
        <f>B5/B3</f>
        <v>0.25</v>
      </c>
      <c r="C14" s="2">
        <f>(C5-B14*C3)/C13</f>
        <v>-0.33333333333333331</v>
      </c>
      <c r="D14" s="1">
        <f>D5-(B14*D3+C14*D13)</f>
        <v>6.5</v>
      </c>
      <c r="F14" s="1" t="s">
        <v>5</v>
      </c>
    </row>
    <row r="16" spans="2:6" x14ac:dyDescent="0.3">
      <c r="B16" t="s">
        <v>6</v>
      </c>
    </row>
    <row r="17" spans="2:3" x14ac:dyDescent="0.3">
      <c r="B17" t="s">
        <v>7</v>
      </c>
      <c r="C17">
        <f>F3</f>
        <v>11</v>
      </c>
    </row>
    <row r="18" spans="2:3" x14ac:dyDescent="0.3">
      <c r="B18" t="s">
        <v>8</v>
      </c>
      <c r="C18">
        <f>F4-(B13*C17)</f>
        <v>6.75</v>
      </c>
    </row>
    <row r="19" spans="2:3" x14ac:dyDescent="0.3">
      <c r="B19" t="s">
        <v>9</v>
      </c>
      <c r="C19">
        <f>F5-(B14*C17+C14*C18)</f>
        <v>6.5</v>
      </c>
    </row>
    <row r="21" spans="2:3" x14ac:dyDescent="0.3">
      <c r="B21" t="s">
        <v>10</v>
      </c>
    </row>
    <row r="22" spans="2:3" x14ac:dyDescent="0.3">
      <c r="B22" t="s">
        <v>11</v>
      </c>
      <c r="C22">
        <f>C19/D14</f>
        <v>1</v>
      </c>
    </row>
    <row r="23" spans="2:3" x14ac:dyDescent="0.3">
      <c r="B23" t="s">
        <v>12</v>
      </c>
      <c r="C23">
        <f>(C18-D13*C22)/C13</f>
        <v>1</v>
      </c>
    </row>
    <row r="24" spans="2:3" x14ac:dyDescent="0.3">
      <c r="B24" t="s">
        <v>13</v>
      </c>
      <c r="C24">
        <f>(C17-(C12*C23+D12*C22))/B12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Luis Alfredo Quispe Ortiz</cp:lastModifiedBy>
  <dcterms:created xsi:type="dcterms:W3CDTF">2026-03-26T15:28:35Z</dcterms:created>
  <dcterms:modified xsi:type="dcterms:W3CDTF">2026-03-26T15:57:40Z</dcterms:modified>
</cp:coreProperties>
</file>